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ay\Downloads\"/>
    </mc:Choice>
  </mc:AlternateContent>
  <xr:revisionPtr revIDLastSave="0" documentId="13_ncr:1_{69BBD6EC-29CC-4DC9-89A7-FB6C7D70F566}" xr6:coauthVersionLast="47" xr6:coauthVersionMax="47" xr10:uidLastSave="{00000000-0000-0000-0000-000000000000}"/>
  <bookViews>
    <workbookView xWindow="-120" yWindow="-120" windowWidth="20730" windowHeight="11040" activeTab="1" xr2:uid="{1B972248-A351-4489-A80A-FC4A1C32E4CA}"/>
  </bookViews>
  <sheets>
    <sheet name="Raw Data" sheetId="1" r:id="rId1"/>
    <sheet name="Ratio Analysis" sheetId="2" r:id="rId2"/>
    <sheet name="Charts" sheetId="5" r:id="rId3"/>
    <sheet name="Dashboard" sheetId="3" r:id="rId4"/>
    <sheet name="Executive Summar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6" i="3"/>
  <c r="B5" i="3"/>
  <c r="B4" i="3"/>
  <c r="E4" i="2"/>
  <c r="E3" i="2"/>
  <c r="D3" i="2"/>
  <c r="D4" i="2"/>
  <c r="D2" i="2"/>
  <c r="C3" i="2"/>
  <c r="C4" i="2"/>
  <c r="C2" i="2"/>
  <c r="B4" i="2"/>
  <c r="B3" i="2"/>
  <c r="F4" i="1"/>
  <c r="F3" i="1"/>
  <c r="C4" i="1"/>
  <c r="C3" i="1"/>
  <c r="C2" i="1"/>
  <c r="A4" i="2"/>
  <c r="A2" i="2"/>
  <c r="A3" i="2"/>
</calcChain>
</file>

<file path=xl/sharedStrings.xml><?xml version="1.0" encoding="utf-8"?>
<sst xmlns="http://schemas.openxmlformats.org/spreadsheetml/2006/main" count="44" uniqueCount="38">
  <si>
    <t>Year</t>
  </si>
  <si>
    <t>Revenue</t>
  </si>
  <si>
    <t>Operating Income</t>
  </si>
  <si>
    <t>Net Income</t>
  </si>
  <si>
    <t>Total Assets</t>
  </si>
  <si>
    <t>Total Libilities</t>
  </si>
  <si>
    <t>Revenue Growth %</t>
  </si>
  <si>
    <t>Operating Margin %</t>
  </si>
  <si>
    <t>Net Profit Margin %</t>
  </si>
  <si>
    <t>Debt-to-Assets Ratio</t>
  </si>
  <si>
    <t>OM = OI/REV * 100</t>
  </si>
  <si>
    <t>rev growth % = Cur rev -Prev rev / Prev Rev * 100</t>
  </si>
  <si>
    <t>Net profit marg = NI/REV *100</t>
  </si>
  <si>
    <t>debt to assets = TL/TA *100</t>
  </si>
  <si>
    <t>2024 Revenue</t>
  </si>
  <si>
    <t>2024 Net Income</t>
  </si>
  <si>
    <t>2024 Operating Margin</t>
  </si>
  <si>
    <t>2024 Debt to Assets Ratio</t>
  </si>
  <si>
    <t>KPI</t>
  </si>
  <si>
    <t>Value</t>
  </si>
  <si>
    <t>Honeywell Financial Performance Dashboard</t>
  </si>
  <si>
    <t>Key Insights</t>
  </si>
  <si>
    <t>Revenue increased steadily from 2022-2024, indicating continued business growth</t>
  </si>
  <si>
    <t>Net Profit margins remained relatively stable despite market fluctuations</t>
  </si>
  <si>
    <t>Debt to assets ratios suggest Honeywell maintains moderate leverage levels</t>
  </si>
  <si>
    <t>Operating margins improved, showing stronger operational efficiency</t>
  </si>
  <si>
    <t>Honeywell Financial Performance Analysis</t>
  </si>
  <si>
    <t>Objective</t>
  </si>
  <si>
    <t>The analysis focused on revenue growth, profitability, operational efficiency, and financial leverage to evalute the company's overall financial health.</t>
  </si>
  <si>
    <t>The overall objective of this project was to analyze Honeywells's financial performance from 2022-2024 using Excel-based financial analysis techniques.</t>
  </si>
  <si>
    <t>Skills</t>
  </si>
  <si>
    <t>Financial Statement Analysis</t>
  </si>
  <si>
    <t>Ratio Analysis</t>
  </si>
  <si>
    <t>Financial Modeling</t>
  </si>
  <si>
    <t>Excel Dashboard Development</t>
  </si>
  <si>
    <t>Data Visualization</t>
  </si>
  <si>
    <t>Business Analysis</t>
  </si>
  <si>
    <t>Executive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</si>
</sst>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4"/>
      <color theme="7" tint="-0.499984740745262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NumberFormat="1"/>
    <xf numFmtId="2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166" fontId="4" fillId="0" borderId="0" xfId="0" applyNumberFormat="1" applyFont="1"/>
    <xf numFmtId="9" fontId="4" fillId="0" borderId="0" xfId="0" applyNumberFormat="1" applyFont="1"/>
    <xf numFmtId="0" fontId="4" fillId="0" borderId="0" xfId="0" applyNumberFormat="1" applyFont="1"/>
    <xf numFmtId="2" fontId="4" fillId="0" borderId="0" xfId="0" applyNumberFormat="1" applyFont="1"/>
  </cellXfs>
  <cellStyles count="2">
    <cellStyle name="Currency" xfId="1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Honey</a:t>
            </a:r>
            <a:r>
              <a:rPr lang="en-US" baseline="0"/>
              <a:t>well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'Raw Data'!$B$1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'Raw Data'!$A$2:$A$4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'Raw Data'!$B$2:$B$4</c:f>
              <c:numCache>
                <c:formatCode>General</c:formatCode>
                <c:ptCount val="3"/>
                <c:pt idx="0">
                  <c:v>35466</c:v>
                </c:pt>
                <c:pt idx="1">
                  <c:v>36662</c:v>
                </c:pt>
                <c:pt idx="2">
                  <c:v>38498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3-4F56-84EF-B65EE2CE9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278784"/>
        <c:axId val="844291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'Raw Data'!$A$1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'Raw Data'!$A$2:$A$4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'Raw Data'!$A$2:$A$4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1E3-4F56-84EF-B65EE2CE9851}"/>
                  </c:ext>
                </c:extLst>
              </c15:ser>
            </c15:filteredLineSeries>
          </c:ext>
        </c:extLst>
      </c:lineChart>
      <c:catAx>
        <c:axId val="84427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91744"/>
        <c:crosses val="autoZero"/>
        <c:auto val="1"/>
        <c:lblAlgn val="ctr"/>
        <c:lblOffset val="100"/>
        <c:noMultiLvlLbl val="0"/>
      </c:catAx>
      <c:valAx>
        <c:axId val="84429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7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Profit Margin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'Ratio Analysis'!$D$1</c:f>
              <c:strCache>
                <c:ptCount val="1"/>
                <c:pt idx="0">
                  <c:v>Net Profit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'Raw Data'!$A$2:$A$4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'Ratio Analysis'!$D$2:$D$4</c:f>
              <c:numCache>
                <c:formatCode>0.0%</c:formatCode>
                <c:ptCount val="3"/>
                <c:pt idx="0">
                  <c:v>0.14004962499295098</c:v>
                </c:pt>
                <c:pt idx="1">
                  <c:v>0.15471059953084937</c:v>
                </c:pt>
                <c:pt idx="2">
                  <c:v>0.14909865447555717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91-403C-BE8F-24E4E0DBC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3791248"/>
        <c:axId val="673777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'Ratio Analysis'!$A$1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'Raw Data'!$A$2:$A$4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'Ratio Analysis'!$A$2:$A$4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B91-403C-BE8F-24E4E0DBC202}"/>
                  </c:ext>
                </c:extLst>
              </c15:ser>
            </c15:filteredLineSeries>
          </c:ext>
        </c:extLst>
      </c:lineChart>
      <c:catAx>
        <c:axId val="67379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777808"/>
        <c:crosses val="autoZero"/>
        <c:auto val="1"/>
        <c:lblAlgn val="ctr"/>
        <c:lblOffset val="100"/>
        <c:noMultiLvlLbl val="0"/>
      </c:catAx>
      <c:valAx>
        <c:axId val="6737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79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Margin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Analysis'!$C$1</c:f>
              <c:strCache>
                <c:ptCount val="1"/>
                <c:pt idx="0">
                  <c:v>Operating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'Ratio Analysis'!$A$2:$A$4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'Ratio Analysis'!$C$2:$C$4</c:f>
              <c:numCache>
                <c:formatCode>0.0%</c:formatCode>
                <c:ptCount val="3"/>
                <c:pt idx="0">
                  <c:v>0.2</c:v>
                </c:pt>
                <c:pt idx="1">
                  <c:v>0.22</c:v>
                </c:pt>
                <c:pt idx="2">
                  <c:v>0.21999999999999997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D2-4404-AE51-3A0B7B5A4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264384"/>
        <c:axId val="844288864"/>
      </c:barChart>
      <c:catAx>
        <c:axId val="84426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88864"/>
        <c:crosses val="autoZero"/>
        <c:auto val="1"/>
        <c:lblAlgn val="ctr"/>
        <c:lblOffset val="100"/>
        <c:noMultiLvlLbl val="0"/>
      </c:catAx>
      <c:valAx>
        <c:axId val="8442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6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'Ratio Analysis'!$E$1</c:f>
              <c:strCache>
                <c:ptCount val="1"/>
                <c:pt idx="0">
                  <c:v>Debt-to-Assets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'Ratio Analysis'!$A$2:$A$4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'Ratio Analysis'!$E$2:$E$4</c:f>
              <c:numCache>
                <c:formatCode>0%</c:formatCode>
                <c:ptCount val="3"/>
                <c:pt idx="1">
                  <c:v>0.74228362454286878</c:v>
                </c:pt>
                <c:pt idx="2">
                  <c:v>0.75239374434810358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1-4D09-BC49-897D74DA7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9249792"/>
        <c:axId val="939239232"/>
      </c:barChart>
      <c:catAx>
        <c:axId val="939249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39232"/>
        <c:crosses val="autoZero"/>
        <c:auto val="1"/>
        <c:lblAlgn val="ctr"/>
        <c:lblOffset val="100"/>
        <c:noMultiLvlLbl val="0"/>
      </c:catAx>
      <c:valAx>
        <c:axId val="9392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4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Honey</a:t>
            </a:r>
            <a:r>
              <a:rPr lang="en-US" baseline="0"/>
              <a:t>well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'Raw Data'!$B$1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'Raw Data'!$A$2:$A$4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'Raw Data'!$B$2:$B$4</c:f>
              <c:numCache>
                <c:formatCode>General</c:formatCode>
                <c:ptCount val="3"/>
                <c:pt idx="0">
                  <c:v>35466</c:v>
                </c:pt>
                <c:pt idx="1">
                  <c:v>36662</c:v>
                </c:pt>
                <c:pt idx="2">
                  <c:v>38498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CE-4FB6-AB16-EA4D6412B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278784"/>
        <c:axId val="844291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'Raw Data'!$A$1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'Raw Data'!$A$2:$A$4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'Raw Data'!$A$2:$A$4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FCE-4FB6-AB16-EA4D6412B66A}"/>
                  </c:ext>
                </c:extLst>
              </c15:ser>
            </c15:filteredLineSeries>
          </c:ext>
        </c:extLst>
      </c:lineChart>
      <c:catAx>
        <c:axId val="84427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91744"/>
        <c:crosses val="autoZero"/>
        <c:auto val="1"/>
        <c:lblAlgn val="ctr"/>
        <c:lblOffset val="100"/>
        <c:noMultiLvlLbl val="0"/>
      </c:catAx>
      <c:valAx>
        <c:axId val="84429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7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Profit Margin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'Ratio Analysis'!$D$1</c:f>
              <c:strCache>
                <c:ptCount val="1"/>
                <c:pt idx="0">
                  <c:v>Net Profit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'Raw Data'!$A$2:$A$4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'Ratio Analysis'!$D$2:$D$4</c:f>
              <c:numCache>
                <c:formatCode>0.0%</c:formatCode>
                <c:ptCount val="3"/>
                <c:pt idx="0">
                  <c:v>0.14004962499295098</c:v>
                </c:pt>
                <c:pt idx="1">
                  <c:v>0.15471059953084937</c:v>
                </c:pt>
                <c:pt idx="2">
                  <c:v>0.14909865447555717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B8-4042-A078-3DAD78291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3791248"/>
        <c:axId val="673777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'Ratio Analysis'!$A$1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'Raw Data'!$A$2:$A$4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'Ratio Analysis'!$A$2:$A$4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CB8-4042-A078-3DAD78291967}"/>
                  </c:ext>
                </c:extLst>
              </c15:ser>
            </c15:filteredLineSeries>
          </c:ext>
        </c:extLst>
      </c:lineChart>
      <c:catAx>
        <c:axId val="67379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777808"/>
        <c:crosses val="autoZero"/>
        <c:auto val="1"/>
        <c:lblAlgn val="ctr"/>
        <c:lblOffset val="100"/>
        <c:noMultiLvlLbl val="0"/>
      </c:catAx>
      <c:valAx>
        <c:axId val="6737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79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Margin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Analysis'!$C$1</c:f>
              <c:strCache>
                <c:ptCount val="1"/>
                <c:pt idx="0">
                  <c:v>Operating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'Ratio Analysis'!$A$2:$A$4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'Ratio Analysis'!$C$2:$C$4</c:f>
              <c:numCache>
                <c:formatCode>0.0%</c:formatCode>
                <c:ptCount val="3"/>
                <c:pt idx="0">
                  <c:v>0.2</c:v>
                </c:pt>
                <c:pt idx="1">
                  <c:v>0.22</c:v>
                </c:pt>
                <c:pt idx="2">
                  <c:v>0.21999999999999997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9-4DBA-9132-6D0765371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264384"/>
        <c:axId val="844288864"/>
      </c:barChart>
      <c:catAx>
        <c:axId val="84426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88864"/>
        <c:crosses val="autoZero"/>
        <c:auto val="1"/>
        <c:lblAlgn val="ctr"/>
        <c:lblOffset val="100"/>
        <c:noMultiLvlLbl val="0"/>
      </c:catAx>
      <c:valAx>
        <c:axId val="8442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6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'Ratio Analysis'!$E$1</c:f>
              <c:strCache>
                <c:ptCount val="1"/>
                <c:pt idx="0">
                  <c:v>Debt-to-Assets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'Ratio Analysis'!$A$2:$A$4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'Ratio Analysis'!$E$2:$E$4</c:f>
              <c:numCache>
                <c:formatCode>0%</c:formatCode>
                <c:ptCount val="3"/>
                <c:pt idx="1">
                  <c:v>0.74228362454286878</c:v>
                </c:pt>
                <c:pt idx="2">
                  <c:v>0.75239374434810358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B-4ED5-94FD-D7C8055B3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9249792"/>
        <c:axId val="939239232"/>
      </c:barChart>
      <c:catAx>
        <c:axId val="939249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39232"/>
        <c:crosses val="autoZero"/>
        <c:auto val="1"/>
        <c:lblAlgn val="ctr"/>
        <c:lblOffset val="100"/>
        <c:noMultiLvlLbl val="0"/>
      </c:catAx>
      <c:valAx>
        <c:axId val="9392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4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Honey</a:t>
            </a:r>
            <a:r>
              <a:rPr lang="en-US" baseline="0"/>
              <a:t>well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'Raw Data'!$B$1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'Raw Data'!$A$2:$A$4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'Raw Data'!$B$2:$B$4</c:f>
              <c:numCache>
                <c:formatCode>General</c:formatCode>
                <c:ptCount val="3"/>
                <c:pt idx="0">
                  <c:v>35466</c:v>
                </c:pt>
                <c:pt idx="1">
                  <c:v>36662</c:v>
                </c:pt>
                <c:pt idx="2">
                  <c:v>38498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A-4843-A14A-1E0F7E996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4278784"/>
        <c:axId val="844291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'Raw Data'!$A$1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'Raw Data'!$A$2:$A$4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'Raw Data'!$A$2:$A$4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81A-4843-A14A-1E0F7E996A84}"/>
                  </c:ext>
                </c:extLst>
              </c15:ser>
            </c15:filteredLineSeries>
          </c:ext>
        </c:extLst>
      </c:lineChart>
      <c:catAx>
        <c:axId val="844278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91744"/>
        <c:crosses val="autoZero"/>
        <c:auto val="1"/>
        <c:lblAlgn val="ctr"/>
        <c:lblOffset val="100"/>
        <c:noMultiLvlLbl val="0"/>
      </c:catAx>
      <c:valAx>
        <c:axId val="84429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7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Profit Margin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'Ratio Analysis'!$D$1</c:f>
              <c:strCache>
                <c:ptCount val="1"/>
                <c:pt idx="0">
                  <c:v>Net Profit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'Raw Data'!$A$2:$A$4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'Ratio Analysis'!$D$2:$D$4</c:f>
              <c:numCache>
                <c:formatCode>0.0%</c:formatCode>
                <c:ptCount val="3"/>
                <c:pt idx="0">
                  <c:v>0.14004962499295098</c:v>
                </c:pt>
                <c:pt idx="1">
                  <c:v>0.15471059953084937</c:v>
                </c:pt>
                <c:pt idx="2">
                  <c:v>0.14909865447555717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46-407A-A2C3-CA2274722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3791248"/>
        <c:axId val="6737778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'Ratio Analysis'!$A$1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'Raw Data'!$A$2:$A$4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'Ratio Analysis'!$A$2:$A$4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F46-407A-A2C3-CA22747222F6}"/>
                  </c:ext>
                </c:extLst>
              </c15:ser>
            </c15:filteredLineSeries>
          </c:ext>
        </c:extLst>
      </c:lineChart>
      <c:catAx>
        <c:axId val="67379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777808"/>
        <c:crosses val="autoZero"/>
        <c:auto val="1"/>
        <c:lblAlgn val="ctr"/>
        <c:lblOffset val="100"/>
        <c:noMultiLvlLbl val="0"/>
      </c:catAx>
      <c:valAx>
        <c:axId val="6737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79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Margin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Analysis'!$C$1</c:f>
              <c:strCache>
                <c:ptCount val="1"/>
                <c:pt idx="0">
                  <c:v>Operating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'Ratio Analysis'!$A$2:$A$4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'Ratio Analysis'!$C$2:$C$4</c:f>
              <c:numCache>
                <c:formatCode>0.0%</c:formatCode>
                <c:ptCount val="3"/>
                <c:pt idx="0">
                  <c:v>0.2</c:v>
                </c:pt>
                <c:pt idx="1">
                  <c:v>0.22</c:v>
                </c:pt>
                <c:pt idx="2">
                  <c:v>0.21999999999999997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7-44B4-A081-F1F42F020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264384"/>
        <c:axId val="844288864"/>
      </c:barChart>
      <c:catAx>
        <c:axId val="84426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88864"/>
        <c:crosses val="autoZero"/>
        <c:auto val="1"/>
        <c:lblAlgn val="ctr"/>
        <c:lblOffset val="100"/>
        <c:noMultiLvlLbl val="0"/>
      </c:catAx>
      <c:valAx>
        <c:axId val="8442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26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'Ratio Analysis'!$E$1</c:f>
              <c:strCache>
                <c:ptCount val="1"/>
                <c:pt idx="0">
                  <c:v>Debt-to-Assets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'Ratio Analysis'!$A$2:$A$4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'Ratio Analysis'!$E$2:$E$4</c:f>
              <c:numCache>
                <c:formatCode>0%</c:formatCode>
                <c:ptCount val="3"/>
                <c:pt idx="1">
                  <c:v>0.74228362454286878</c:v>
                </c:pt>
                <c:pt idx="2">
                  <c:v>0.75239374434810358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C-4E59-B771-49FAAF78A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9249792"/>
        <c:axId val="939239232"/>
      </c:barChart>
      <c:catAx>
        <c:axId val="939249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39232"/>
        <c:crosses val="autoZero"/>
        <c:auto val="1"/>
        <c:lblAlgn val="ctr"/>
        <c:lblOffset val="100"/>
        <c:noMultiLvlLbl val="0"/>
      </c:catAx>
      <c:valAx>
        <c:axId val="9392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4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5</xdr:row>
      <xdr:rowOff>171449</xdr:rowOff>
    </xdr:from>
    <xdr:to>
      <xdr:col>4</xdr:col>
      <xdr:colOff>9525</xdr:colOff>
      <xdr:row>18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B753A7-BC83-4D85-AB2A-570023421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7</xdr:row>
      <xdr:rowOff>1</xdr:rowOff>
    </xdr:from>
    <xdr:to>
      <xdr:col>3</xdr:col>
      <xdr:colOff>1</xdr:colOff>
      <xdr:row>17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87D1EC-4E54-4EE9-9A27-A5CD28747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238126</xdr:colOff>
      <xdr:row>6</xdr:row>
      <xdr:rowOff>180976</xdr:rowOff>
    </xdr:from>
    <xdr:to>
      <xdr:col>5</xdr:col>
      <xdr:colOff>28576</xdr:colOff>
      <xdr:row>16</xdr:row>
      <xdr:rowOff>180976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031C546-CA45-4CFB-BE84-393B5DD53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285750</xdr:colOff>
      <xdr:row>7</xdr:row>
      <xdr:rowOff>9526</xdr:rowOff>
    </xdr:from>
    <xdr:to>
      <xdr:col>10</xdr:col>
      <xdr:colOff>0</xdr:colOff>
      <xdr:row>17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83D25E1-207B-459C-9E21-642953B45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5</xdr:col>
      <xdr:colOff>1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28214B-1FB0-48DB-8F01-9D55BA2B2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602848</xdr:colOff>
      <xdr:row>0</xdr:row>
      <xdr:rowOff>0</xdr:rowOff>
    </xdr:from>
    <xdr:to>
      <xdr:col>11</xdr:col>
      <xdr:colOff>13022</xdr:colOff>
      <xdr:row>11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3AE631-93F0-4D32-985F-25A1698D3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9524</xdr:rowOff>
    </xdr:from>
    <xdr:to>
      <xdr:col>5</xdr:col>
      <xdr:colOff>0</xdr:colOff>
      <xdr:row>22</xdr:row>
      <xdr:rowOff>176211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C0C03D-A0B7-4618-BE82-97F179ABF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</xdr:colOff>
      <xdr:row>12</xdr:row>
      <xdr:rowOff>0</xdr:rowOff>
    </xdr:from>
    <xdr:to>
      <xdr:col>11</xdr:col>
      <xdr:colOff>1</xdr:colOff>
      <xdr:row>22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552826-FBD9-4304-9691-8EBBB3170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10702</xdr:colOff>
      <xdr:row>1</xdr:row>
      <xdr:rowOff>8561</xdr:rowOff>
    </xdr:from>
    <xdr:to>
      <xdr:col>4</xdr:col>
      <xdr:colOff>1155841</xdr:colOff>
      <xdr:row>10</xdr:row>
      <xdr:rowOff>181939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1FDCC0-BC87-44D6-A4B9-538FEE7B1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475930</xdr:colOff>
      <xdr:row>1</xdr:row>
      <xdr:rowOff>1</xdr:rowOff>
    </xdr:from>
    <xdr:to>
      <xdr:col>11</xdr:col>
      <xdr:colOff>0</xdr:colOff>
      <xdr:row>11</xdr:row>
      <xdr:rowOff>10702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7A5E71-AC49-4F36-A28E-C87D37D87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</xdr:row>
      <xdr:rowOff>190499</xdr:rowOff>
    </xdr:from>
    <xdr:to>
      <xdr:col>1</xdr:col>
      <xdr:colOff>1331145</xdr:colOff>
      <xdr:row>18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797974-ACE5-4E0F-8BB9-E9D444F3D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643</xdr:colOff>
      <xdr:row>12</xdr:row>
      <xdr:rowOff>1</xdr:rowOff>
    </xdr:from>
    <xdr:to>
      <xdr:col>5</xdr:col>
      <xdr:colOff>10702</xdr:colOff>
      <xdr:row>23</xdr:row>
      <xdr:rowOff>6106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41D068-3164-4B96-83D5-54C2CD668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E95983-EB65-44AD-856A-28572A9A7BCE}" name="Table2" displayName="Table2" ref="A2:B6" totalsRowShown="0" headerRowDxfId="0">
  <autoFilter ref="A2:B6" xr:uid="{7EE95983-EB65-44AD-856A-28572A9A7BCE}"/>
  <tableColumns count="2">
    <tableColumn id="1" xr3:uid="{BB822CB5-0DDB-46A4-95F1-D27026A62279}" name="KPI" dataDxfId="1"/>
    <tableColumn id="3" xr3:uid="{CEB5E95A-893D-45E1-B2B7-DD6295B2B279}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D275-CEE5-496F-8DA1-C875B2312C45}">
  <dimension ref="A1:F10"/>
  <sheetViews>
    <sheetView workbookViewId="0">
      <selection activeCell="E22" sqref="E22"/>
    </sheetView>
  </sheetViews>
  <sheetFormatPr defaultRowHeight="15" x14ac:dyDescent="0.25"/>
  <cols>
    <col min="1" max="1" width="9.28515625" customWidth="1"/>
    <col min="2" max="2" width="15" customWidth="1"/>
    <col min="3" max="3" width="22.42578125" customWidth="1"/>
    <col min="4" max="4" width="16" customWidth="1"/>
    <col min="5" max="5" width="16.7109375" customWidth="1"/>
    <col min="6" max="6" width="18.28515625" customWidth="1"/>
  </cols>
  <sheetData>
    <row r="1" spans="1:6" ht="2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ht="21" x14ac:dyDescent="0.35">
      <c r="A2" s="11">
        <v>2022</v>
      </c>
      <c r="B2" s="14">
        <v>35466</v>
      </c>
      <c r="C2" s="15">
        <f>B2*20%</f>
        <v>7093.2000000000007</v>
      </c>
      <c r="D2" s="14">
        <v>4967</v>
      </c>
      <c r="E2" s="14"/>
      <c r="F2" s="14"/>
    </row>
    <row r="3" spans="1:6" ht="21" x14ac:dyDescent="0.35">
      <c r="A3" s="11">
        <v>2023</v>
      </c>
      <c r="B3" s="14">
        <v>36662</v>
      </c>
      <c r="C3" s="15">
        <f>B3*22%</f>
        <v>8065.64</v>
      </c>
      <c r="D3" s="14">
        <v>5672</v>
      </c>
      <c r="E3" s="14">
        <v>61525</v>
      </c>
      <c r="F3" s="14">
        <f>E3-15856</f>
        <v>45669</v>
      </c>
    </row>
    <row r="4" spans="1:6" ht="21" x14ac:dyDescent="0.35">
      <c r="A4" s="11">
        <v>2024</v>
      </c>
      <c r="B4" s="14">
        <v>38498</v>
      </c>
      <c r="C4" s="15">
        <f>B4*22%</f>
        <v>8469.56</v>
      </c>
      <c r="D4" s="14">
        <v>5740</v>
      </c>
      <c r="E4" s="14">
        <v>75196</v>
      </c>
      <c r="F4" s="14">
        <f>E4-18619</f>
        <v>56577</v>
      </c>
    </row>
    <row r="5" spans="1:6" x14ac:dyDescent="0.25">
      <c r="B5" s="1"/>
      <c r="C5" s="2"/>
      <c r="D5" s="1"/>
      <c r="E5" s="1"/>
      <c r="F5" s="1"/>
    </row>
    <row r="6" spans="1:6" x14ac:dyDescent="0.25">
      <c r="B6" s="1"/>
      <c r="C6" s="1"/>
      <c r="D6" s="1"/>
      <c r="E6" s="1"/>
      <c r="F6" s="1"/>
    </row>
    <row r="7" spans="1:6" x14ac:dyDescent="0.25">
      <c r="B7" s="1"/>
      <c r="C7" s="1"/>
      <c r="D7" s="1"/>
      <c r="E7" s="1"/>
      <c r="F7" s="1"/>
    </row>
    <row r="8" spans="1:6" x14ac:dyDescent="0.25">
      <c r="B8" s="1"/>
      <c r="C8" s="1"/>
      <c r="D8" s="1"/>
      <c r="E8" s="1"/>
      <c r="F8" s="1"/>
    </row>
    <row r="9" spans="1:6" x14ac:dyDescent="0.25">
      <c r="B9" s="1"/>
      <c r="C9" s="1"/>
      <c r="D9" s="1"/>
      <c r="E9" s="1"/>
      <c r="F9" s="1"/>
    </row>
    <row r="10" spans="1:6" x14ac:dyDescent="0.25">
      <c r="B10" s="1"/>
      <c r="C10" s="1"/>
      <c r="D10" s="1"/>
      <c r="E10" s="1"/>
      <c r="F1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7DDA-7DFC-4339-A067-12023B6CC299}">
  <dimension ref="A1:E40"/>
  <sheetViews>
    <sheetView tabSelected="1" workbookViewId="0">
      <selection activeCell="B20" sqref="B20"/>
    </sheetView>
  </sheetViews>
  <sheetFormatPr defaultRowHeight="15" x14ac:dyDescent="0.25"/>
  <cols>
    <col min="2" max="2" width="24.85546875" customWidth="1"/>
    <col min="3" max="3" width="24.42578125" customWidth="1"/>
    <col min="4" max="4" width="20.85546875" customWidth="1"/>
    <col min="5" max="5" width="26.85546875" customWidth="1"/>
    <col min="6" max="6" width="19.28515625" customWidth="1"/>
  </cols>
  <sheetData>
    <row r="1" spans="1:5" ht="21" x14ac:dyDescent="0.35">
      <c r="A1" s="11" t="s">
        <v>0</v>
      </c>
      <c r="B1" s="11" t="s">
        <v>6</v>
      </c>
      <c r="C1" s="11" t="s">
        <v>7</v>
      </c>
      <c r="D1" s="11" t="s">
        <v>8</v>
      </c>
      <c r="E1" s="11" t="s">
        <v>9</v>
      </c>
    </row>
    <row r="2" spans="1:5" ht="21" x14ac:dyDescent="0.35">
      <c r="A2" s="11">
        <f>'Raw Data'!A2</f>
        <v>2022</v>
      </c>
      <c r="B2" s="11"/>
      <c r="C2" s="12">
        <f>'Raw Data'!C2/'Raw Data'!B2</f>
        <v>0.2</v>
      </c>
      <c r="D2" s="12">
        <f>'Raw Data'!D2/'Raw Data'!B2</f>
        <v>0.14004962499295098</v>
      </c>
      <c r="E2" s="12"/>
    </row>
    <row r="3" spans="1:5" ht="21" x14ac:dyDescent="0.35">
      <c r="A3" s="11">
        <f>'Raw Data'!A3</f>
        <v>2023</v>
      </c>
      <c r="B3" s="12">
        <f>('Raw Data'!B3-'Raw Data'!B2)/'Raw Data'!B2</f>
        <v>3.372243839169909E-2</v>
      </c>
      <c r="C3" s="12">
        <f>'Raw Data'!C3/'Raw Data'!B3</f>
        <v>0.22</v>
      </c>
      <c r="D3" s="12">
        <f>'Raw Data'!D3/'Raw Data'!B3</f>
        <v>0.15471059953084937</v>
      </c>
      <c r="E3" s="13">
        <f>'Raw Data'!F3/'Raw Data'!E3</f>
        <v>0.74228362454286878</v>
      </c>
    </row>
    <row r="4" spans="1:5" ht="21" x14ac:dyDescent="0.35">
      <c r="A4" s="11">
        <f>'Raw Data'!A4</f>
        <v>2024</v>
      </c>
      <c r="B4" s="12">
        <f>('Raw Data'!B4-'Raw Data'!B3)/'Raw Data'!B3</f>
        <v>5.007910097648792E-2</v>
      </c>
      <c r="C4" s="12">
        <f>'Raw Data'!C4/'Raw Data'!B4</f>
        <v>0.21999999999999997</v>
      </c>
      <c r="D4" s="12">
        <f>'Raw Data'!D4/'Raw Data'!B4</f>
        <v>0.14909865447555717</v>
      </c>
      <c r="E4" s="13">
        <f>'Raw Data'!F4/'Raw Data'!E4</f>
        <v>0.75239374434810358</v>
      </c>
    </row>
    <row r="5" spans="1:5" x14ac:dyDescent="0.25">
      <c r="C5" s="3"/>
      <c r="D5" s="3"/>
      <c r="E5" s="3"/>
    </row>
    <row r="37" spans="1:1" x14ac:dyDescent="0.25">
      <c r="A37" t="s">
        <v>11</v>
      </c>
    </row>
    <row r="38" spans="1:1" x14ac:dyDescent="0.25">
      <c r="A38" t="s">
        <v>10</v>
      </c>
    </row>
    <row r="39" spans="1:1" x14ac:dyDescent="0.25">
      <c r="A39" t="s">
        <v>12</v>
      </c>
    </row>
    <row r="40" spans="1:1" x14ac:dyDescent="0.25">
      <c r="A40" t="s">
        <v>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1220-7519-4557-B356-8327C40F9BAF}">
  <dimension ref="A1"/>
  <sheetViews>
    <sheetView zoomScale="96" workbookViewId="0">
      <selection activeCell="M15" sqref="M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D045-31F2-4C62-B6C4-DADEBF3E8199}">
  <dimension ref="A1:O28"/>
  <sheetViews>
    <sheetView zoomScale="89" workbookViewId="0">
      <selection activeCell="G21" sqref="G21"/>
    </sheetView>
  </sheetViews>
  <sheetFormatPr defaultRowHeight="15" x14ac:dyDescent="0.25"/>
  <cols>
    <col min="1" max="1" width="24.5703125" customWidth="1"/>
    <col min="2" max="2" width="24.7109375" customWidth="1"/>
    <col min="3" max="3" width="8.85546875" customWidth="1"/>
    <col min="4" max="4" width="27" customWidth="1"/>
    <col min="5" max="5" width="17.28515625" customWidth="1"/>
    <col min="6" max="6" width="7.28515625" customWidth="1"/>
  </cols>
  <sheetData>
    <row r="1" spans="1:15" ht="31.5" x14ac:dyDescent="0.25">
      <c r="A1" s="8" t="s">
        <v>20</v>
      </c>
      <c r="B1" s="8"/>
      <c r="C1" s="8"/>
      <c r="D1" s="8"/>
      <c r="E1" s="8"/>
      <c r="F1" s="8"/>
      <c r="G1" s="8"/>
      <c r="H1" s="8"/>
      <c r="I1" s="9"/>
      <c r="J1" s="9"/>
      <c r="K1" s="9"/>
      <c r="L1" s="9"/>
      <c r="M1" s="9"/>
      <c r="N1" s="9"/>
      <c r="O1" s="9"/>
    </row>
    <row r="2" spans="1:15" ht="26.25" x14ac:dyDescent="0.25">
      <c r="A2" s="5" t="s">
        <v>18</v>
      </c>
      <c r="B2" s="5" t="s">
        <v>19</v>
      </c>
    </row>
    <row r="3" spans="1:15" x14ac:dyDescent="0.25">
      <c r="A3" s="7" t="s">
        <v>14</v>
      </c>
      <c r="B3" s="6">
        <f>'Raw Data'!B4</f>
        <v>38498</v>
      </c>
    </row>
    <row r="4" spans="1:15" x14ac:dyDescent="0.25">
      <c r="A4" s="7" t="s">
        <v>15</v>
      </c>
      <c r="B4" s="7">
        <f>'Raw Data'!D4</f>
        <v>5740</v>
      </c>
    </row>
    <row r="5" spans="1:15" x14ac:dyDescent="0.25">
      <c r="A5" s="7" t="s">
        <v>16</v>
      </c>
      <c r="B5" s="4">
        <f>'Ratio Analysis'!C4</f>
        <v>0.21999999999999997</v>
      </c>
    </row>
    <row r="6" spans="1:15" x14ac:dyDescent="0.25">
      <c r="A6" s="7" t="s">
        <v>17</v>
      </c>
      <c r="B6" s="4">
        <f>'Ratio Analysis'!E4</f>
        <v>0.75239374434810358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25</v>
      </c>
    </row>
    <row r="27" spans="1:1" x14ac:dyDescent="0.25">
      <c r="A27" t="s">
        <v>23</v>
      </c>
    </row>
    <row r="28" spans="1:1" x14ac:dyDescent="0.25">
      <c r="A28" t="s">
        <v>24</v>
      </c>
    </row>
  </sheetData>
  <mergeCells count="1">
    <mergeCell ref="A1:H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4A51-E049-4239-B583-08B0595B0067}">
  <dimension ref="A1:A20"/>
  <sheetViews>
    <sheetView workbookViewId="0">
      <selection activeCell="D19" sqref="D19"/>
    </sheetView>
  </sheetViews>
  <sheetFormatPr defaultRowHeight="15" x14ac:dyDescent="0.25"/>
  <cols>
    <col min="3" max="3" width="16.85546875" bestFit="1" customWidth="1"/>
    <col min="4" max="4" width="11" bestFit="1" customWidth="1"/>
    <col min="5" max="5" width="11.5703125" bestFit="1" customWidth="1"/>
    <col min="6" max="6" width="13.42578125" bestFit="1" customWidth="1"/>
  </cols>
  <sheetData>
    <row r="1" spans="1:1" ht="31.5" x14ac:dyDescent="0.5">
      <c r="A1" s="10" t="s">
        <v>26</v>
      </c>
    </row>
    <row r="3" spans="1:1" x14ac:dyDescent="0.25">
      <c r="A3" t="s">
        <v>27</v>
      </c>
    </row>
    <row r="4" spans="1:1" x14ac:dyDescent="0.25">
      <c r="A4" t="s">
        <v>29</v>
      </c>
    </row>
    <row r="5" spans="1:1" x14ac:dyDescent="0.25">
      <c r="A5" t="s">
        <v>28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25</v>
      </c>
    </row>
    <row r="10" spans="1:1" x14ac:dyDescent="0.25">
      <c r="A10" t="s">
        <v>23</v>
      </c>
    </row>
    <row r="11" spans="1:1" x14ac:dyDescent="0.25">
      <c r="A11" t="s">
        <v>24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32</v>
      </c>
    </row>
    <row r="16" spans="1:1" x14ac:dyDescent="0.25">
      <c r="A16" t="s">
        <v>33</v>
      </c>
    </row>
    <row r="17" spans="1:1" x14ac:dyDescent="0.25">
      <c r="A17" t="s">
        <v>34</v>
      </c>
    </row>
    <row r="18" spans="1:1" x14ac:dyDescent="0.25">
      <c r="A18" t="s">
        <v>35</v>
      </c>
    </row>
    <row r="19" spans="1:1" x14ac:dyDescent="0.25">
      <c r="A19" t="s">
        <v>36</v>
      </c>
    </row>
    <row r="20" spans="1:1" x14ac:dyDescent="0.25">
      <c r="A2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Ratio Analysis</vt:lpstr>
      <vt:lpstr>Charts</vt:lpstr>
      <vt:lpstr>Dashboard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jakayla tomlinson</dc:creator>
  <cp:lastModifiedBy>jakayla tomlinson</cp:lastModifiedBy>
  <dcterms:created xsi:type="dcterms:W3CDTF">2026-05-11T01:38:02Z</dcterms:created>
  <dcterms:modified xsi:type="dcterms:W3CDTF">2026-05-17T20:39:18Z</dcterms:modified>
</cp:coreProperties>
</file>